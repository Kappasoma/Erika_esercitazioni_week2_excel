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Week_2/"/>
    </mc:Choice>
  </mc:AlternateContent>
  <xr:revisionPtr revIDLastSave="0" documentId="8_{A6635C4B-2AE5-481B-9A66-43652F038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otti" sheetId="1" r:id="rId1"/>
    <sheet name="Foglio2" sheetId="3" r:id="rId2"/>
  </sheets>
  <definedNames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5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<sst xmlns="http://schemas.openxmlformats.org/spreadsheetml/2006/main" count="31" uniqueCount="20">
  <si>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</si>
  <si>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</si>
  <si>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</si>
  <si>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</si>
  <si>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</si>
  <si>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</si>
  <si>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</si>
  <si>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</si>
  <si>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</si>
  <si>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</si>
  <si>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</si>
  <si>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</si>
  <si>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</si>
  <si>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</si>
  <si>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</si>
  <si>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</si>
  <si>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</si>
  <si>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</si>
  <si>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</si>
  <si>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Totale per 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</si>
</sst>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44" fontId="2" fillId="0" borderId="0" xfId="1" applyFont="1"/>
    <xf numFmtId="16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7-4822-B37D-8D49B7A53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486368"/>
        <c:axId val="1910490688"/>
      </c:barChart>
      <c:catAx>
        <c:axId val="19104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490688"/>
        <c:crosses val="autoZero"/>
        <c:auto val="1"/>
        <c:lblAlgn val="ctr"/>
        <c:lblOffset val="100"/>
        <c:noMultiLvlLbl val="0"/>
      </c:catAx>
      <c:valAx>
        <c:axId val="19104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48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Prodotti!$C$14</c:f>
              <c:strCache>
                <c:ptCount val="1"/>
                <c:pt idx="0">
                  <c:v>Totale per azienda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5-480C-80D3-6AAAF15580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5-480C-80D3-6AAAF15580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55-480C-80D3-6AAAF15580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55-480C-80D3-6AAAF15580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Prodotti!$B$15:$B$18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Prodotti!$C$15:$C$18</c:f>
              <c:numCache>
                <c:formatCode>#,##0.00\ "€"</c:formatCode>
                <c:ptCount val="4"/>
                <c:pt idx="0">
                  <c:v>17700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7-417C-9295-7D1D850E5C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Prodotti!$C$14</c:f>
              <c:strCache>
                <c:ptCount val="1"/>
                <c:pt idx="0">
                  <c:v>Totale per azienda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Prodotti!$B$15:$B$18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Prodotti!$C$15:$C$18</c:f>
              <c:numCache>
                <c:formatCode>#,##0.00\ "€"</c:formatCode>
                <c:ptCount val="4"/>
                <c:pt idx="0">
                  <c:v>17700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A-4765-BAE8-FAC97B11C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519488"/>
        <c:axId val="1910536288"/>
      </c:barChart>
      <c:catAx>
        <c:axId val="19105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536288"/>
        <c:crosses val="autoZero"/>
        <c:auto val="1"/>
        <c:lblAlgn val="ctr"/>
        <c:lblOffset val="100"/>
        <c:noMultiLvlLbl val="0"/>
      </c:catAx>
      <c:valAx>
        <c:axId val="191053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051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A0-4370-8BB7-59EB7D4092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A0-4370-8BB7-59EB7D4092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A0-4370-8BB7-59EB7D4092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A0-4370-8BB7-59EB7D4092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A0-4370-8BB7-59EB7D4092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A0-4370-8BB7-59EB7D4092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A0-4370-8BB7-59EB7D4092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8A0-4370-8BB7-59EB7D4092E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8A0-4370-8BB7-59EB7D4092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8A0-4370-8BB7-59EB7D4092E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A0-4370-8BB7-59EB7D4092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25</xdr:row>
      <xdr:rowOff>60960</xdr:rowOff>
    </xdr:from>
    <xdr:to>
      <xdr:col>4</xdr:col>
      <xdr:colOff>22860</xdr:colOff>
      <xdr:row>37</xdr:row>
      <xdr:rowOff>60960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76982F-9875-D59C-B372-0BA01CD47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7626</xdr:colOff>
      <xdr:row>42</xdr:row>
      <xdr:rowOff>194310</xdr:rowOff>
    </xdr:from>
    <xdr:to>
      <xdr:col>12</xdr:col>
      <xdr:colOff>15240</xdr:colOff>
      <xdr:row>58</xdr:row>
      <xdr:rowOff>22860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17F76AC-1BD3-696E-D226-AC9E0861B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26</xdr:row>
      <xdr:rowOff>7620</xdr:rowOff>
    </xdr:from>
    <xdr:to>
      <xdr:col>12</xdr:col>
      <xdr:colOff>0</xdr:colOff>
      <xdr:row>40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FD633FA-5FDA-3908-5883-89D905C6E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</xdr:row>
      <xdr:rowOff>7620</xdr:rowOff>
    </xdr:from>
    <xdr:to>
      <xdr:col>11</xdr:col>
      <xdr:colOff>129540</xdr:colOff>
      <xdr:row>16</xdr:row>
      <xdr:rowOff>182880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C3C0ED0A-D336-4C59-A0C4-723EF7B0F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469002</xdr:colOff>
      <xdr:row>54</xdr:row>
      <xdr:rowOff>45085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33ECDAD-641F-AA8E-1474-96A61BD5B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18602" cy="9097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tabSelected="1" view="pageLayout" zoomScaleNormal="100" workbookViewId="0">
      <selection activeCell="E16" sqref="E16"/>
    </sheetView>
  </sheetViews>
  <sheetFormatPr defaultColWidth="12.6640625" defaultRowHeight="15.75" customHeight="1" x14ac:dyDescent="0.25"/>
  <cols>
    <col min="1" max="1" width="19.77734375" customWidth="1"/>
    <col min="2" max="3" width="22.33203125" customWidth="1"/>
    <col min="4" max="4" width="24" customWidth="1"/>
    <col min="7" max="7" width="18.44140625" bestFit="1" customWidth="1"/>
    <col min="8" max="8" width="16" bestFit="1" customWidth="1"/>
    <col min="9" max="9" width="9.109375" bestFit="1" customWidth="1"/>
    <col min="10" max="10" width="8.44140625" bestFit="1" customWidth="1"/>
    <col min="11" max="11" width="10.6640625" bestFit="1" customWidth="1"/>
  </cols>
  <sheetData>
    <row r="1" spans="1:26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2" t="s">
        <v>5</v>
      </c>
      <c r="B2" s="2" t="s">
        <v>6</v>
      </c>
      <c r="C2" s="3">
        <v>500</v>
      </c>
      <c r="D2" s="4">
        <v>15.75</v>
      </c>
      <c r="E2" s="5">
        <f>D2*C2</f>
        <v>7875</v>
      </c>
      <c r="G2" s="1"/>
      <c r="H2" s="1"/>
      <c r="I2" s="1"/>
      <c r="J2" s="1"/>
      <c r="K2" s="1"/>
    </row>
    <row r="3" spans="1:26" ht="13.2" x14ac:dyDescent="0.25">
      <c r="A3" s="2" t="s">
        <v>5</v>
      </c>
      <c r="B3" s="2" t="s">
        <v>7</v>
      </c>
      <c r="C3" s="3">
        <v>1200</v>
      </c>
      <c r="D3" s="4">
        <v>8.5</v>
      </c>
      <c r="E3" s="5">
        <f t="shared" ref="E3:E11" si="0">D3*C3</f>
        <v>10200</v>
      </c>
      <c r="G3" s="2"/>
      <c r="H3" s="2"/>
      <c r="I3" s="3"/>
      <c r="J3" s="4"/>
      <c r="K3" s="5"/>
    </row>
    <row r="4" spans="1:26" ht="13.2" x14ac:dyDescent="0.25">
      <c r="A4" s="2" t="s">
        <v>8</v>
      </c>
      <c r="B4" s="2" t="s">
        <v>9</v>
      </c>
      <c r="C4" s="3">
        <v>800</v>
      </c>
      <c r="D4" s="4">
        <v>12.25</v>
      </c>
      <c r="E4" s="5">
        <f t="shared" si="0"/>
        <v>9800</v>
      </c>
      <c r="G4" s="2"/>
      <c r="H4" s="2"/>
      <c r="I4" s="3"/>
      <c r="J4" s="4"/>
      <c r="K4" s="5"/>
    </row>
    <row r="5" spans="1:26" ht="13.2" x14ac:dyDescent="0.25">
      <c r="A5" s="2" t="s">
        <v>5</v>
      </c>
      <c r="B5" s="2" t="s">
        <v>10</v>
      </c>
      <c r="C5" s="3">
        <v>300</v>
      </c>
      <c r="D5" s="4">
        <v>25</v>
      </c>
      <c r="E5" s="5">
        <f t="shared" si="0"/>
        <v>7500</v>
      </c>
      <c r="G5" s="2"/>
      <c r="H5" s="2"/>
      <c r="I5" s="3"/>
      <c r="J5" s="4"/>
      <c r="K5" s="5"/>
    </row>
    <row r="6" spans="1:26" ht="13.2" x14ac:dyDescent="0.25">
      <c r="A6" s="2" t="s">
        <v>8</v>
      </c>
      <c r="B6" s="2" t="s">
        <v>11</v>
      </c>
      <c r="C6" s="3">
        <v>1500</v>
      </c>
      <c r="D6" s="4">
        <v>6.5</v>
      </c>
      <c r="E6" s="5">
        <f t="shared" si="0"/>
        <v>9750</v>
      </c>
      <c r="G6" s="2"/>
      <c r="H6" s="2"/>
      <c r="I6" s="3"/>
      <c r="J6" s="4"/>
      <c r="K6" s="5"/>
    </row>
    <row r="7" spans="1:26" ht="13.2" x14ac:dyDescent="0.25">
      <c r="A7" s="2" t="s">
        <v>12</v>
      </c>
      <c r="B7" s="2" t="s">
        <v>13</v>
      </c>
      <c r="C7" s="3">
        <v>700</v>
      </c>
      <c r="D7" s="4">
        <v>18.75</v>
      </c>
      <c r="E7" s="5">
        <f t="shared" si="0"/>
        <v>13125</v>
      </c>
      <c r="G7" s="2"/>
      <c r="H7" s="2"/>
      <c r="I7" s="3"/>
      <c r="J7" s="4"/>
      <c r="K7" s="5"/>
    </row>
    <row r="8" spans="1:26" ht="13.2" x14ac:dyDescent="0.25">
      <c r="A8" s="2" t="s">
        <v>12</v>
      </c>
      <c r="B8" s="2" t="s">
        <v>14</v>
      </c>
      <c r="C8" s="3">
        <v>900</v>
      </c>
      <c r="D8" s="4">
        <v>14</v>
      </c>
      <c r="E8" s="5">
        <f t="shared" si="0"/>
        <v>12600</v>
      </c>
      <c r="G8" s="2"/>
      <c r="H8" s="2"/>
      <c r="I8" s="3"/>
      <c r="J8" s="4"/>
      <c r="K8" s="5"/>
    </row>
    <row r="9" spans="1:26" ht="13.2" x14ac:dyDescent="0.25">
      <c r="A9" s="2" t="s">
        <v>8</v>
      </c>
      <c r="B9" s="2" t="s">
        <v>15</v>
      </c>
      <c r="C9" s="3">
        <v>1100</v>
      </c>
      <c r="D9" s="4">
        <v>10.5</v>
      </c>
      <c r="E9" s="5">
        <f t="shared" si="0"/>
        <v>11550</v>
      </c>
      <c r="G9" s="2"/>
      <c r="H9" s="2"/>
      <c r="I9" s="3"/>
      <c r="J9" s="4"/>
      <c r="K9" s="5"/>
    </row>
    <row r="10" spans="1:26" ht="13.2" x14ac:dyDescent="0.25">
      <c r="A10" s="2" t="s">
        <v>12</v>
      </c>
      <c r="B10" s="2" t="s">
        <v>16</v>
      </c>
      <c r="C10" s="3">
        <v>600</v>
      </c>
      <c r="D10" s="4">
        <v>20</v>
      </c>
      <c r="E10" s="5">
        <f t="shared" si="0"/>
        <v>12000</v>
      </c>
      <c r="G10" s="2"/>
      <c r="H10" s="2"/>
      <c r="I10" s="3"/>
      <c r="J10" s="4"/>
      <c r="K10" s="5"/>
    </row>
    <row r="11" spans="1:26" ht="13.2" x14ac:dyDescent="0.25">
      <c r="A11" s="2" t="s">
        <v>17</v>
      </c>
      <c r="B11" s="2" t="s">
        <v>18</v>
      </c>
      <c r="C11" s="3">
        <v>1000</v>
      </c>
      <c r="D11" s="4">
        <v>13.5</v>
      </c>
      <c r="E11" s="5">
        <f t="shared" si="0"/>
        <v>13500</v>
      </c>
      <c r="G11" s="2"/>
      <c r="H11" s="2"/>
      <c r="I11" s="3"/>
      <c r="J11" s="4"/>
      <c r="K11" s="5"/>
    </row>
    <row r="12" spans="1:26" ht="15.75" customHeight="1" x14ac:dyDescent="0.25">
      <c r="G12" s="2"/>
      <c r="H12" s="2"/>
      <c r="I12" s="3"/>
      <c r="J12" s="4"/>
      <c r="K12" s="5"/>
    </row>
    <row r="14" spans="1:26" ht="15.75" customHeight="1" x14ac:dyDescent="0.25">
      <c r="B14" s="1" t="s">
        <v>0</v>
      </c>
      <c r="C14" s="2" t="s">
        <v>19</v>
      </c>
    </row>
    <row r="15" spans="1:26" ht="15.75" customHeight="1" x14ac:dyDescent="0.25">
      <c r="B15" s="2" t="s">
        <v>5</v>
      </c>
      <c r="C15" s="5">
        <f>SUMIFS($E$3:$E$12,$A$3:$A$12,B15)</f>
        <v>17700</v>
      </c>
    </row>
    <row r="16" spans="1:26" ht="15.75" customHeight="1" x14ac:dyDescent="0.25">
      <c r="B16" s="2" t="s">
        <v>8</v>
      </c>
      <c r="C16" s="5">
        <f t="shared" ref="C16:C18" si="1">SUMIFS($E$3:$E$12,$A$3:$A$12,B16)</f>
        <v>31100</v>
      </c>
    </row>
    <row r="17" spans="2:12" ht="15.75" customHeight="1" x14ac:dyDescent="0.25">
      <c r="B17" s="2" t="s">
        <v>12</v>
      </c>
      <c r="C17" s="5">
        <f t="shared" si="1"/>
        <v>37725</v>
      </c>
    </row>
    <row r="18" spans="2:12" ht="15.75" customHeight="1" x14ac:dyDescent="0.25">
      <c r="B18" s="2" t="s">
        <v>17</v>
      </c>
      <c r="C18" s="5">
        <f t="shared" si="1"/>
        <v>13500</v>
      </c>
    </row>
    <row r="19" spans="2:12" ht="15.75" customHeight="1" x14ac:dyDescent="0.25">
      <c r="L19" s="1"/>
    </row>
  </sheetData>
  <pageMargins left="0.19685039370078741" right="0.19685039370078741" top="0.39370078740157483" bottom="0.39370078740157483" header="0.31496062992125984" footer="0.31496062992125984"/>
  <pageSetup paperSize="9" orientation="portrait" r:id="rId1"/>
  <headerFooter differentFirst="1">
    <oddHeader>&amp;CPagina &amp;P di &amp;N</oddHeader>
    <oddFooter>&amp;C&amp;P&amp;D</oddFooter>
    <firstHeader>&amp;CSpese recenti</firstHeader>
  </headerFooter>
  <rowBreaks count="1" manualBreakCount="1">
    <brk id="1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E698-8B73-4859-A727-4DCD4CB79128}">
  <dimension ref="A1"/>
  <sheetViews>
    <sheetView topLeftCell="A31" workbookViewId="0"/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Foglio2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Somaschini</dc:creator>
  <cp:lastModifiedBy>Erika Somaschini</cp:lastModifiedBy>
  <cp:lastPrinted>2026-03-01T14:56:04Z</cp:lastPrinted>
  <dcterms:created xsi:type="dcterms:W3CDTF">2026-03-01T15:21:10Z</dcterms:created>
  <dcterms:modified xsi:type="dcterms:W3CDTF">2026-03-01T15:21:10Z</dcterms:modified>
</cp:coreProperties>
</file>